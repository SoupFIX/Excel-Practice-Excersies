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ution" sheetId="1" r:id="rId5"/>
  </sheets>
  <definedNames>
    <definedName name="Reg">Solution!$I$14:$I$51</definedName>
    <definedName name="Salary">Solution!$J$14:$J$51</definedName>
    <definedName name="Depart">Solution!$H$14:$H$51</definedName>
    <definedName hidden="1" localSheetId="0" name="_xlnm._FilterDatabase">Solution!$L$9</definedName>
  </definedNames>
  <calcPr/>
</workbook>
</file>

<file path=xl/sharedStrings.xml><?xml version="1.0" encoding="utf-8"?>
<sst xmlns="http://schemas.openxmlformats.org/spreadsheetml/2006/main" count="257" uniqueCount="116">
  <si>
    <t>Create a summary Data Analysis about the dataset given below.</t>
  </si>
  <si>
    <t>Descriptive Analysis</t>
  </si>
  <si>
    <t>Total Salary</t>
  </si>
  <si>
    <t>Calculate HRA at 45% of Basic salary</t>
  </si>
  <si>
    <t>Average Salary</t>
  </si>
  <si>
    <t>Give Annual Bonus as 1000 Gift Voucher plus 5% of Basic salary</t>
  </si>
  <si>
    <t>Median Salary</t>
  </si>
  <si>
    <t>Calculate Gross Salary</t>
  </si>
  <si>
    <t>Total Employees</t>
  </si>
  <si>
    <t>Calculate professional tax at 5%</t>
  </si>
  <si>
    <t>Max Salary</t>
  </si>
  <si>
    <t>Calculate Net Salary</t>
  </si>
  <si>
    <t>Min Salary</t>
  </si>
  <si>
    <t>More Analysis</t>
  </si>
  <si>
    <t>Total number of males</t>
  </si>
  <si>
    <t>Total number of females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</si>
  <si>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</si>
  <si>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</si>
  <si>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</si>
  <si>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</si>
  <si>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</si>
  <si>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</si>
  <si>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</si>
  <si>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</si>
  <si>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</si>
  <si>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number Employees working in North</t>
  </si>
  <si>
    <t>Ram</t>
  </si>
  <si>
    <t>Ambradkar</t>
  </si>
  <si>
    <t>Female</t>
  </si>
  <si>
    <t>Married</t>
  </si>
  <si>
    <t>FLM</t>
  </si>
  <si>
    <t>North</t>
  </si>
  <si>
    <t>Average Salary Paid to Sales Department of North Region</t>
  </si>
  <si>
    <t>Sachin</t>
  </si>
  <si>
    <t>Bangera</t>
  </si>
  <si>
    <t>Single</t>
  </si>
  <si>
    <t>Digital Marketing</t>
  </si>
  <si>
    <t>Max Salary paid in Digital Marketing</t>
  </si>
  <si>
    <t>Rajesh</t>
  </si>
  <si>
    <t>Bohra</t>
  </si>
  <si>
    <t>Min Salary paid in South Region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</si>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</sst>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000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16">
    <border/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Border="1" applyFont="1"/>
    <xf borderId="9" fillId="0" fontId="4" numFmtId="0" xfId="0" applyBorder="1" applyFont="1"/>
    <xf borderId="0" fillId="0" fontId="1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/>
    </xf>
    <xf borderId="10" fillId="0" fontId="1" numFmtId="0" xfId="0" applyBorder="1" applyFont="1"/>
    <xf borderId="10" fillId="0" fontId="4" numFmtId="0" xfId="0" applyBorder="1" applyFont="1"/>
    <xf borderId="9" fillId="0" fontId="4" numFmtId="0" xfId="0" applyAlignment="1" applyBorder="1" applyFont="1">
      <alignment horizontal="center"/>
    </xf>
    <xf quotePrefix="1" borderId="9" fillId="0" fontId="4" numFmtId="0" xfId="0" applyBorder="1" applyFont="1"/>
    <xf borderId="9" fillId="0" fontId="4" numFmtId="15" xfId="0" applyAlignment="1" applyBorder="1" applyFont="1" applyNumberFormat="1">
      <alignment horizontal="center"/>
    </xf>
    <xf quotePrefix="1" borderId="9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3" numFmtId="0" xfId="0" applyBorder="1" applyFont="1"/>
    <xf borderId="9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2" fillId="3" fontId="1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3" fontId="3" numFmtId="0" xfId="0" applyBorder="1" applyFont="1"/>
    <xf borderId="15" fillId="3" fontId="4" numFmtId="0" xfId="0" applyBorder="1" applyFont="1"/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43"/>
    <col customWidth="1" min="3" max="4" width="13.29"/>
    <col customWidth="1" min="5" max="5" width="10.0"/>
    <col customWidth="1" min="6" max="6" width="7.29"/>
    <col customWidth="1" min="7" max="7" width="9.0"/>
    <col customWidth="1" min="8" max="8" width="25.57"/>
    <col customWidth="1" min="9" max="9" width="11.86"/>
    <col customWidth="1" min="10" max="10" width="10.71"/>
    <col customWidth="1" min="11" max="17" width="8.71"/>
    <col customWidth="1" min="18" max="18" width="52.86"/>
    <col customWidth="1" min="19" max="19" width="14.29"/>
    <col customWidth="1" min="20" max="21" width="8.29"/>
    <col customWidth="1" min="22" max="22" width="9.0"/>
    <col customWidth="1" min="23" max="23" width="22.71"/>
  </cols>
  <sheetData>
    <row r="2">
      <c r="C2" s="1" t="s">
        <v>0</v>
      </c>
      <c r="D2" s="2"/>
      <c r="E2" s="2"/>
      <c r="F2" s="2"/>
      <c r="G2" s="2"/>
      <c r="H2" s="2"/>
      <c r="I2" s="2"/>
      <c r="J2" s="3"/>
      <c r="R2" s="4" t="s">
        <v>1</v>
      </c>
      <c r="S2" s="5"/>
    </row>
    <row r="3">
      <c r="C3" s="6"/>
      <c r="D3" s="7"/>
      <c r="E3" s="7"/>
      <c r="F3" s="7"/>
      <c r="G3" s="7"/>
      <c r="H3" s="7"/>
      <c r="I3" s="7"/>
      <c r="J3" s="8"/>
      <c r="R3" s="9" t="s">
        <v>2</v>
      </c>
      <c r="S3" s="10">
        <f>sum(J14:J51)</f>
        <v>2191000</v>
      </c>
    </row>
    <row r="4">
      <c r="C4" s="11">
        <v>1.0</v>
      </c>
      <c r="D4" s="12" t="s">
        <v>3</v>
      </c>
      <c r="R4" s="9" t="s">
        <v>4</v>
      </c>
      <c r="S4" s="10">
        <f>average(J14:J51)</f>
        <v>57657.89474</v>
      </c>
      <c r="U4" s="10"/>
      <c r="W4" s="10"/>
    </row>
    <row r="5">
      <c r="C5" s="11">
        <v>2.0</v>
      </c>
      <c r="D5" s="12" t="s">
        <v>5</v>
      </c>
      <c r="K5" s="13">
        <v>1000.0</v>
      </c>
      <c r="R5" s="9" t="s">
        <v>6</v>
      </c>
      <c r="S5" s="10">
        <f>median(J14:J51)</f>
        <v>55000</v>
      </c>
      <c r="U5" s="10"/>
      <c r="W5" s="10"/>
    </row>
    <row r="6">
      <c r="C6" s="11">
        <v>3.0</v>
      </c>
      <c r="D6" s="12" t="s">
        <v>7</v>
      </c>
      <c r="R6" s="9" t="s">
        <v>8</v>
      </c>
      <c r="S6" s="10">
        <f>count(B14:B51)</f>
        <v>38</v>
      </c>
      <c r="U6" s="10"/>
      <c r="W6" s="10"/>
    </row>
    <row r="7">
      <c r="C7" s="11">
        <v>4.0</v>
      </c>
      <c r="D7" s="12" t="s">
        <v>9</v>
      </c>
      <c r="R7" s="9" t="s">
        <v>10</v>
      </c>
      <c r="S7" s="10">
        <f>max(J14:J51)</f>
        <v>92000</v>
      </c>
      <c r="U7" s="10"/>
      <c r="W7" s="10"/>
    </row>
    <row r="8">
      <c r="C8" s="11">
        <v>5.0</v>
      </c>
      <c r="D8" s="12" t="s">
        <v>11</v>
      </c>
      <c r="R8" s="9" t="s">
        <v>12</v>
      </c>
      <c r="S8" s="10">
        <f>min(J14:J51)</f>
        <v>15000</v>
      </c>
      <c r="U8" s="10"/>
      <c r="W8" s="10"/>
    </row>
    <row r="9">
      <c r="S9" s="10"/>
    </row>
    <row r="10">
      <c r="J10" s="13">
        <v>0.45</v>
      </c>
      <c r="N10" s="13">
        <v>0.05</v>
      </c>
      <c r="R10" s="4" t="s">
        <v>13</v>
      </c>
      <c r="S10" s="5"/>
    </row>
    <row r="11">
      <c r="R11" s="9" t="s">
        <v>14</v>
      </c>
      <c r="S11" s="10">
        <f>countif(F14:F51,"Male")</f>
        <v>23</v>
      </c>
    </row>
    <row r="12">
      <c r="R12" s="9" t="s">
        <v>15</v>
      </c>
      <c r="S12" s="10">
        <f>countif(F14:F51,"Female")</f>
        <v>15</v>
      </c>
    </row>
    <row r="13">
      <c r="B13" s="9" t="s">
        <v>16</v>
      </c>
      <c r="C13" s="9" t="s">
        <v>17</v>
      </c>
      <c r="D13" s="9" t="s">
        <v>18</v>
      </c>
      <c r="E13" s="9" t="s">
        <v>19</v>
      </c>
      <c r="F13" s="9" t="s">
        <v>20</v>
      </c>
      <c r="G13" s="9" t="s">
        <v>21</v>
      </c>
      <c r="H13" s="9" t="s">
        <v>22</v>
      </c>
      <c r="I13" s="9" t="s">
        <v>23</v>
      </c>
      <c r="J13" s="9" t="s">
        <v>24</v>
      </c>
      <c r="K13" s="14">
        <v>1.0</v>
      </c>
      <c r="L13" s="14">
        <v>2.0</v>
      </c>
      <c r="M13" s="14">
        <v>3.0</v>
      </c>
      <c r="N13" s="14">
        <v>4.0</v>
      </c>
      <c r="O13" s="14">
        <v>5.0</v>
      </c>
      <c r="R13" s="9" t="s">
        <v>25</v>
      </c>
      <c r="S13" s="15">
        <f>countif(I14:I51,"North")</f>
        <v>10</v>
      </c>
    </row>
    <row r="14">
      <c r="B14" s="16">
        <v>150834.0</v>
      </c>
      <c r="C14" s="17" t="s">
        <v>26</v>
      </c>
      <c r="D14" s="17" t="s">
        <v>27</v>
      </c>
      <c r="E14" s="18">
        <v>31199.0</v>
      </c>
      <c r="F14" s="19" t="s">
        <v>28</v>
      </c>
      <c r="G14" s="17" t="s">
        <v>29</v>
      </c>
      <c r="H14" s="17" t="s">
        <v>30</v>
      </c>
      <c r="I14" s="17" t="s">
        <v>31</v>
      </c>
      <c r="J14" s="20">
        <v>48000.0</v>
      </c>
      <c r="K14" s="10">
        <f t="shared" ref="K14:K51" si="1">$J$10*J14</f>
        <v>21600</v>
      </c>
      <c r="L14" s="10">
        <f t="shared" ref="L14:L51" si="2">$K$5+(0.05*J14)</f>
        <v>3400</v>
      </c>
      <c r="M14" s="10">
        <f t="shared" ref="M14:M51" si="3">J14+K14+L14</f>
        <v>73000</v>
      </c>
      <c r="N14" s="10">
        <f t="shared" ref="N14:N51" si="4">$N$10*M14</f>
        <v>3650</v>
      </c>
      <c r="O14" s="10">
        <f t="shared" ref="O14:O51" si="5">M14-N14</f>
        <v>69350</v>
      </c>
      <c r="R14" s="21" t="s">
        <v>32</v>
      </c>
      <c r="S14" s="22">
        <f>AVERAGEIFS(J14:J51,I14:I51,"North",H14:H51,"Sales")</f>
        <v>52000</v>
      </c>
    </row>
    <row r="15">
      <c r="B15" s="16">
        <v>150784.0</v>
      </c>
      <c r="C15" s="17" t="s">
        <v>33</v>
      </c>
      <c r="D15" s="17" t="s">
        <v>34</v>
      </c>
      <c r="E15" s="18">
        <v>28365.0</v>
      </c>
      <c r="F15" s="19" t="s">
        <v>28</v>
      </c>
      <c r="G15" s="17" t="s">
        <v>35</v>
      </c>
      <c r="H15" s="17" t="s">
        <v>36</v>
      </c>
      <c r="I15" s="17" t="s">
        <v>31</v>
      </c>
      <c r="J15" s="20">
        <v>35000.0</v>
      </c>
      <c r="K15" s="10">
        <f t="shared" si="1"/>
        <v>15750</v>
      </c>
      <c r="L15" s="10">
        <f t="shared" si="2"/>
        <v>2750</v>
      </c>
      <c r="M15" s="10">
        <f t="shared" si="3"/>
        <v>53500</v>
      </c>
      <c r="N15" s="10">
        <f t="shared" si="4"/>
        <v>2675</v>
      </c>
      <c r="O15" s="10">
        <f t="shared" si="5"/>
        <v>50825</v>
      </c>
      <c r="R15" s="9" t="s">
        <v>37</v>
      </c>
      <c r="S15" s="23">
        <f>maxifs(J14:J51,H14:H51,"Digital Marketing")</f>
        <v>92000</v>
      </c>
    </row>
    <row r="16">
      <c r="B16" s="16">
        <v>150791.0</v>
      </c>
      <c r="C16" s="17" t="s">
        <v>38</v>
      </c>
      <c r="D16" s="17" t="s">
        <v>39</v>
      </c>
      <c r="E16" s="18">
        <v>23346.0</v>
      </c>
      <c r="F16" s="19" t="s">
        <v>28</v>
      </c>
      <c r="G16" s="17" t="s">
        <v>29</v>
      </c>
      <c r="H16" s="17" t="s">
        <v>36</v>
      </c>
      <c r="I16" s="17" t="s">
        <v>31</v>
      </c>
      <c r="J16" s="20">
        <v>67000.0</v>
      </c>
      <c r="K16" s="10">
        <f t="shared" si="1"/>
        <v>30150</v>
      </c>
      <c r="L16" s="10">
        <f t="shared" si="2"/>
        <v>4350</v>
      </c>
      <c r="M16" s="10">
        <f t="shared" si="3"/>
        <v>101500</v>
      </c>
      <c r="N16" s="10">
        <f t="shared" si="4"/>
        <v>5075</v>
      </c>
      <c r="O16" s="10">
        <f t="shared" si="5"/>
        <v>96425</v>
      </c>
      <c r="R16" s="21" t="s">
        <v>40</v>
      </c>
      <c r="S16" s="10">
        <f>MINIFs(J14:J51,I14:I51,"South")</f>
        <v>19000</v>
      </c>
    </row>
    <row r="17">
      <c r="B17" s="16">
        <v>150940.0</v>
      </c>
      <c r="C17" s="17" t="s">
        <v>41</v>
      </c>
      <c r="D17" s="17" t="s">
        <v>42</v>
      </c>
      <c r="E17" s="18">
        <v>26906.0</v>
      </c>
      <c r="F17" s="19" t="s">
        <v>43</v>
      </c>
      <c r="G17" s="17" t="s">
        <v>35</v>
      </c>
      <c r="H17" s="17" t="s">
        <v>44</v>
      </c>
      <c r="I17" s="17" t="s">
        <v>45</v>
      </c>
      <c r="J17" s="20">
        <v>87000.0</v>
      </c>
      <c r="K17" s="10">
        <f t="shared" si="1"/>
        <v>39150</v>
      </c>
      <c r="L17" s="10">
        <f t="shared" si="2"/>
        <v>5350</v>
      </c>
      <c r="M17" s="10">
        <f t="shared" si="3"/>
        <v>131500</v>
      </c>
      <c r="N17" s="10">
        <f t="shared" si="4"/>
        <v>6575</v>
      </c>
      <c r="O17" s="10">
        <f t="shared" si="5"/>
        <v>124925</v>
      </c>
    </row>
    <row r="18">
      <c r="B18" s="16">
        <v>150777.0</v>
      </c>
      <c r="C18" s="17" t="s">
        <v>46</v>
      </c>
      <c r="D18" s="17" t="s">
        <v>47</v>
      </c>
      <c r="E18" s="18">
        <v>21123.0</v>
      </c>
      <c r="F18" s="19" t="s">
        <v>43</v>
      </c>
      <c r="G18" s="17" t="s">
        <v>29</v>
      </c>
      <c r="H18" s="17" t="s">
        <v>48</v>
      </c>
      <c r="I18" s="17" t="s">
        <v>31</v>
      </c>
      <c r="J18" s="20">
        <v>22000.0</v>
      </c>
      <c r="K18" s="10">
        <f t="shared" si="1"/>
        <v>9900</v>
      </c>
      <c r="L18" s="10">
        <f t="shared" si="2"/>
        <v>2100</v>
      </c>
      <c r="M18" s="10">
        <f t="shared" si="3"/>
        <v>34000</v>
      </c>
      <c r="N18" s="10">
        <f t="shared" si="4"/>
        <v>1700</v>
      </c>
      <c r="O18" s="10">
        <f t="shared" si="5"/>
        <v>32300</v>
      </c>
      <c r="R18" s="24"/>
      <c r="S18" s="25"/>
      <c r="T18" s="25"/>
      <c r="U18" s="25"/>
      <c r="V18" s="26"/>
    </row>
    <row r="19">
      <c r="B19" s="16">
        <v>150805.0</v>
      </c>
      <c r="C19" s="17" t="s">
        <v>38</v>
      </c>
      <c r="D19" s="17" t="s">
        <v>49</v>
      </c>
      <c r="E19" s="18">
        <v>26172.0</v>
      </c>
      <c r="F19" s="19" t="s">
        <v>43</v>
      </c>
      <c r="G19" s="17" t="s">
        <v>29</v>
      </c>
      <c r="H19" s="17" t="s">
        <v>50</v>
      </c>
      <c r="I19" s="17" t="s">
        <v>31</v>
      </c>
      <c r="J19" s="20">
        <v>91000.0</v>
      </c>
      <c r="K19" s="10">
        <f t="shared" si="1"/>
        <v>40950</v>
      </c>
      <c r="L19" s="10">
        <f t="shared" si="2"/>
        <v>5550</v>
      </c>
      <c r="M19" s="10">
        <f t="shared" si="3"/>
        <v>137500</v>
      </c>
      <c r="N19" s="10">
        <f t="shared" si="4"/>
        <v>6875</v>
      </c>
      <c r="O19" s="10">
        <f t="shared" si="5"/>
        <v>130625</v>
      </c>
      <c r="R19" s="27"/>
      <c r="S19" s="27"/>
      <c r="T19" s="27"/>
      <c r="U19" s="27"/>
      <c r="V19" s="27"/>
    </row>
    <row r="20">
      <c r="B20" s="16">
        <v>150990.0</v>
      </c>
      <c r="C20" s="17" t="s">
        <v>51</v>
      </c>
      <c r="D20" s="17" t="s">
        <v>52</v>
      </c>
      <c r="E20" s="18">
        <v>36400.0</v>
      </c>
      <c r="F20" s="19" t="s">
        <v>43</v>
      </c>
      <c r="G20" s="17" t="s">
        <v>29</v>
      </c>
      <c r="H20" s="17" t="s">
        <v>53</v>
      </c>
      <c r="I20" s="17" t="s">
        <v>54</v>
      </c>
      <c r="J20" s="20">
        <v>77000.0</v>
      </c>
      <c r="K20" s="10">
        <f t="shared" si="1"/>
        <v>34650</v>
      </c>
      <c r="L20" s="10">
        <f t="shared" si="2"/>
        <v>4850</v>
      </c>
      <c r="M20" s="10">
        <f t="shared" si="3"/>
        <v>116500</v>
      </c>
      <c r="N20" s="10">
        <f t="shared" si="4"/>
        <v>5825</v>
      </c>
      <c r="O20" s="10">
        <f t="shared" si="5"/>
        <v>110675</v>
      </c>
      <c r="R20" s="28"/>
      <c r="S20" s="28"/>
      <c r="T20" s="28"/>
      <c r="U20" s="28"/>
      <c r="V20" s="28"/>
    </row>
    <row r="21" ht="15.0" customHeight="1">
      <c r="B21" s="16">
        <v>150989.0</v>
      </c>
      <c r="C21" s="17" t="s">
        <v>55</v>
      </c>
      <c r="D21" s="17" t="s">
        <v>52</v>
      </c>
      <c r="E21" s="18">
        <v>33113.0</v>
      </c>
      <c r="F21" s="19" t="s">
        <v>43</v>
      </c>
      <c r="G21" s="17" t="s">
        <v>29</v>
      </c>
      <c r="H21" s="17" t="s">
        <v>36</v>
      </c>
      <c r="I21" s="17" t="s">
        <v>54</v>
      </c>
      <c r="J21" s="20">
        <v>45000.0</v>
      </c>
      <c r="K21" s="10">
        <f t="shared" si="1"/>
        <v>20250</v>
      </c>
      <c r="L21" s="10">
        <f t="shared" si="2"/>
        <v>3250</v>
      </c>
      <c r="M21" s="10">
        <f t="shared" si="3"/>
        <v>68500</v>
      </c>
      <c r="N21" s="10">
        <f t="shared" si="4"/>
        <v>3425</v>
      </c>
      <c r="O21" s="10">
        <f t="shared" si="5"/>
        <v>65075</v>
      </c>
      <c r="R21" s="28"/>
      <c r="S21" s="28"/>
      <c r="T21" s="28"/>
      <c r="U21" s="28"/>
      <c r="V21" s="28"/>
    </row>
    <row r="22" ht="15.75" customHeight="1">
      <c r="B22" s="16">
        <v>150881.0</v>
      </c>
      <c r="C22" s="17" t="s">
        <v>56</v>
      </c>
      <c r="D22" s="17" t="s">
        <v>57</v>
      </c>
      <c r="E22" s="18">
        <v>30337.0</v>
      </c>
      <c r="F22" s="19" t="s">
        <v>43</v>
      </c>
      <c r="G22" s="17" t="s">
        <v>35</v>
      </c>
      <c r="H22" s="17" t="s">
        <v>36</v>
      </c>
      <c r="I22" s="17" t="s">
        <v>58</v>
      </c>
      <c r="J22" s="20">
        <v>92000.0</v>
      </c>
      <c r="K22" s="10">
        <f t="shared" si="1"/>
        <v>41400</v>
      </c>
      <c r="L22" s="10">
        <f t="shared" si="2"/>
        <v>5600</v>
      </c>
      <c r="M22" s="10">
        <f t="shared" si="3"/>
        <v>139000</v>
      </c>
      <c r="N22" s="10">
        <f t="shared" si="4"/>
        <v>6950</v>
      </c>
      <c r="O22" s="10">
        <f t="shared" si="5"/>
        <v>132050</v>
      </c>
      <c r="R22" s="28"/>
      <c r="S22" s="28"/>
      <c r="T22" s="28"/>
      <c r="U22" s="28"/>
      <c r="V22" s="28"/>
    </row>
    <row r="23" ht="15.75" customHeight="1">
      <c r="B23" s="16">
        <v>150814.0</v>
      </c>
      <c r="C23" s="17" t="s">
        <v>59</v>
      </c>
      <c r="D23" s="17" t="s">
        <v>60</v>
      </c>
      <c r="E23" s="18">
        <v>26246.0</v>
      </c>
      <c r="F23" s="19" t="s">
        <v>43</v>
      </c>
      <c r="G23" s="17" t="s">
        <v>29</v>
      </c>
      <c r="H23" s="17" t="s">
        <v>44</v>
      </c>
      <c r="I23" s="17" t="s">
        <v>31</v>
      </c>
      <c r="J23" s="20">
        <v>50000.0</v>
      </c>
      <c r="K23" s="10">
        <f t="shared" si="1"/>
        <v>22500</v>
      </c>
      <c r="L23" s="10">
        <f t="shared" si="2"/>
        <v>3500</v>
      </c>
      <c r="M23" s="10">
        <f t="shared" si="3"/>
        <v>76000</v>
      </c>
      <c r="N23" s="10">
        <f t="shared" si="4"/>
        <v>3800</v>
      </c>
      <c r="O23" s="10">
        <f t="shared" si="5"/>
        <v>72200</v>
      </c>
      <c r="R23" s="28"/>
      <c r="S23" s="28"/>
      <c r="T23" s="28"/>
      <c r="U23" s="28"/>
      <c r="V23" s="28"/>
    </row>
    <row r="24" ht="15.75" customHeight="1">
      <c r="B24" s="16">
        <v>150937.0</v>
      </c>
      <c r="C24" s="17" t="s">
        <v>61</v>
      </c>
      <c r="D24" s="17" t="s">
        <v>62</v>
      </c>
      <c r="E24" s="18">
        <v>24700.0</v>
      </c>
      <c r="F24" s="19" t="s">
        <v>43</v>
      </c>
      <c r="G24" s="17" t="s">
        <v>29</v>
      </c>
      <c r="H24" s="17" t="s">
        <v>53</v>
      </c>
      <c r="I24" s="17" t="s">
        <v>45</v>
      </c>
      <c r="J24" s="20">
        <v>37000.0</v>
      </c>
      <c r="K24" s="10">
        <f t="shared" si="1"/>
        <v>16650</v>
      </c>
      <c r="L24" s="10">
        <f t="shared" si="2"/>
        <v>2850</v>
      </c>
      <c r="M24" s="10">
        <f t="shared" si="3"/>
        <v>56500</v>
      </c>
      <c r="N24" s="10">
        <f t="shared" si="4"/>
        <v>2825</v>
      </c>
      <c r="O24" s="10">
        <f t="shared" si="5"/>
        <v>53675</v>
      </c>
      <c r="R24" s="28"/>
      <c r="S24" s="28"/>
      <c r="T24" s="28"/>
      <c r="U24" s="28"/>
      <c r="V24" s="28"/>
    </row>
    <row r="25" ht="15.75" customHeight="1">
      <c r="B25" s="16">
        <v>150888.0</v>
      </c>
      <c r="C25" s="17" t="s">
        <v>63</v>
      </c>
      <c r="D25" s="17" t="s">
        <v>64</v>
      </c>
      <c r="E25" s="18">
        <v>29221.0</v>
      </c>
      <c r="F25" s="19" t="s">
        <v>43</v>
      </c>
      <c r="G25" s="17" t="s">
        <v>29</v>
      </c>
      <c r="H25" s="17" t="s">
        <v>53</v>
      </c>
      <c r="I25" s="17" t="s">
        <v>58</v>
      </c>
      <c r="J25" s="20">
        <v>43000.0</v>
      </c>
      <c r="K25" s="10">
        <f t="shared" si="1"/>
        <v>19350</v>
      </c>
      <c r="L25" s="10">
        <f t="shared" si="2"/>
        <v>3150</v>
      </c>
      <c r="M25" s="10">
        <f t="shared" si="3"/>
        <v>65500</v>
      </c>
      <c r="N25" s="10">
        <f t="shared" si="4"/>
        <v>3275</v>
      </c>
      <c r="O25" s="10">
        <f t="shared" si="5"/>
        <v>62225</v>
      </c>
      <c r="R25" s="28"/>
      <c r="S25" s="28"/>
      <c r="T25" s="28"/>
      <c r="U25" s="28"/>
      <c r="V25" s="28"/>
    </row>
    <row r="26" ht="15.75" customHeight="1">
      <c r="B26" s="16">
        <v>150865.0</v>
      </c>
      <c r="C26" s="17" t="s">
        <v>65</v>
      </c>
      <c r="D26" s="17" t="s">
        <v>64</v>
      </c>
      <c r="E26" s="18">
        <v>31279.0</v>
      </c>
      <c r="F26" s="19" t="s">
        <v>28</v>
      </c>
      <c r="G26" s="17" t="s">
        <v>29</v>
      </c>
      <c r="H26" s="17" t="s">
        <v>66</v>
      </c>
      <c r="I26" s="17" t="s">
        <v>58</v>
      </c>
      <c r="J26" s="20">
        <v>90000.0</v>
      </c>
      <c r="K26" s="10">
        <f t="shared" si="1"/>
        <v>40500</v>
      </c>
      <c r="L26" s="10">
        <f t="shared" si="2"/>
        <v>5500</v>
      </c>
      <c r="M26" s="10">
        <f t="shared" si="3"/>
        <v>136000</v>
      </c>
      <c r="N26" s="10">
        <f t="shared" si="4"/>
        <v>6800</v>
      </c>
      <c r="O26" s="10">
        <f t="shared" si="5"/>
        <v>129200</v>
      </c>
      <c r="R26" s="28"/>
      <c r="S26" s="28"/>
      <c r="T26" s="28"/>
      <c r="U26" s="28"/>
      <c r="V26" s="28"/>
    </row>
    <row r="27" ht="15.75" customHeight="1">
      <c r="B27" s="16">
        <v>150858.0</v>
      </c>
      <c r="C27" s="17" t="s">
        <v>67</v>
      </c>
      <c r="D27" s="17" t="s">
        <v>68</v>
      </c>
      <c r="E27" s="18">
        <v>34846.0</v>
      </c>
      <c r="F27" s="19" t="s">
        <v>43</v>
      </c>
      <c r="G27" s="17" t="s">
        <v>29</v>
      </c>
      <c r="H27" s="17" t="s">
        <v>69</v>
      </c>
      <c r="I27" s="17" t="s">
        <v>58</v>
      </c>
      <c r="J27" s="20">
        <v>34000.0</v>
      </c>
      <c r="K27" s="10">
        <f t="shared" si="1"/>
        <v>15300</v>
      </c>
      <c r="L27" s="10">
        <f t="shared" si="2"/>
        <v>2700</v>
      </c>
      <c r="M27" s="10">
        <f t="shared" si="3"/>
        <v>52000</v>
      </c>
      <c r="N27" s="10">
        <f t="shared" si="4"/>
        <v>2600</v>
      </c>
      <c r="O27" s="10">
        <f t="shared" si="5"/>
        <v>49400</v>
      </c>
      <c r="R27" s="28"/>
      <c r="S27" s="28"/>
      <c r="T27" s="28"/>
      <c r="U27" s="28"/>
      <c r="V27" s="28"/>
    </row>
    <row r="28" ht="15.75" customHeight="1">
      <c r="B28" s="16">
        <v>150930.0</v>
      </c>
      <c r="C28" s="17" t="s">
        <v>70</v>
      </c>
      <c r="D28" s="17" t="s">
        <v>71</v>
      </c>
      <c r="E28" s="18">
        <v>37027.0</v>
      </c>
      <c r="F28" s="19" t="s">
        <v>43</v>
      </c>
      <c r="G28" s="17" t="s">
        <v>29</v>
      </c>
      <c r="H28" s="17" t="s">
        <v>36</v>
      </c>
      <c r="I28" s="17" t="s">
        <v>45</v>
      </c>
      <c r="J28" s="20">
        <v>82000.0</v>
      </c>
      <c r="K28" s="10">
        <f t="shared" si="1"/>
        <v>36900</v>
      </c>
      <c r="L28" s="10">
        <f t="shared" si="2"/>
        <v>5100</v>
      </c>
      <c r="M28" s="10">
        <f t="shared" si="3"/>
        <v>124000</v>
      </c>
      <c r="N28" s="10">
        <f t="shared" si="4"/>
        <v>6200</v>
      </c>
      <c r="O28" s="10">
        <f t="shared" si="5"/>
        <v>117800</v>
      </c>
      <c r="R28" s="28"/>
      <c r="S28" s="28"/>
      <c r="T28" s="28"/>
      <c r="U28" s="28"/>
      <c r="V28" s="28"/>
    </row>
    <row r="29" ht="15.75" customHeight="1">
      <c r="B29" s="16">
        <v>150894.0</v>
      </c>
      <c r="C29" s="17" t="s">
        <v>72</v>
      </c>
      <c r="D29" s="17" t="s">
        <v>73</v>
      </c>
      <c r="E29" s="18">
        <v>37124.0</v>
      </c>
      <c r="F29" s="19" t="s">
        <v>43</v>
      </c>
      <c r="G29" s="17" t="s">
        <v>29</v>
      </c>
      <c r="H29" s="17" t="s">
        <v>44</v>
      </c>
      <c r="I29" s="17" t="s">
        <v>45</v>
      </c>
      <c r="J29" s="20">
        <v>67000.0</v>
      </c>
      <c r="K29" s="10">
        <f t="shared" si="1"/>
        <v>30150</v>
      </c>
      <c r="L29" s="10">
        <f t="shared" si="2"/>
        <v>4350</v>
      </c>
      <c r="M29" s="10">
        <f t="shared" si="3"/>
        <v>101500</v>
      </c>
      <c r="N29" s="10">
        <f t="shared" si="4"/>
        <v>5075</v>
      </c>
      <c r="O29" s="10">
        <f t="shared" si="5"/>
        <v>96425</v>
      </c>
      <c r="R29" s="28"/>
      <c r="S29" s="28"/>
      <c r="T29" s="28"/>
      <c r="U29" s="28"/>
      <c r="V29" s="28"/>
    </row>
    <row r="30" ht="15.75" customHeight="1">
      <c r="B30" s="16">
        <v>150947.0</v>
      </c>
      <c r="C30" s="17" t="s">
        <v>74</v>
      </c>
      <c r="D30" s="17" t="s">
        <v>75</v>
      </c>
      <c r="E30" s="18">
        <v>33449.0</v>
      </c>
      <c r="F30" s="19" t="s">
        <v>28</v>
      </c>
      <c r="G30" s="17" t="s">
        <v>29</v>
      </c>
      <c r="H30" s="17" t="s">
        <v>69</v>
      </c>
      <c r="I30" s="17" t="s">
        <v>45</v>
      </c>
      <c r="J30" s="20">
        <v>85000.0</v>
      </c>
      <c r="K30" s="10">
        <f t="shared" si="1"/>
        <v>38250</v>
      </c>
      <c r="L30" s="10">
        <f t="shared" si="2"/>
        <v>5250</v>
      </c>
      <c r="M30" s="10">
        <f t="shared" si="3"/>
        <v>128500</v>
      </c>
      <c r="N30" s="10">
        <f t="shared" si="4"/>
        <v>6425</v>
      </c>
      <c r="O30" s="10">
        <f t="shared" si="5"/>
        <v>122075</v>
      </c>
      <c r="R30" s="28"/>
      <c r="S30" s="28"/>
      <c r="T30" s="28"/>
      <c r="U30" s="28"/>
      <c r="V30" s="28"/>
    </row>
    <row r="31" ht="15.75" customHeight="1">
      <c r="B31" s="16">
        <v>150905.0</v>
      </c>
      <c r="C31" s="17" t="s">
        <v>76</v>
      </c>
      <c r="D31" s="17" t="s">
        <v>77</v>
      </c>
      <c r="E31" s="18">
        <v>30819.0</v>
      </c>
      <c r="F31" s="19" t="s">
        <v>28</v>
      </c>
      <c r="G31" s="17" t="s">
        <v>35</v>
      </c>
      <c r="H31" s="17" t="s">
        <v>30</v>
      </c>
      <c r="I31" s="17" t="s">
        <v>45</v>
      </c>
      <c r="J31" s="20">
        <v>62000.0</v>
      </c>
      <c r="K31" s="10">
        <f t="shared" si="1"/>
        <v>27900</v>
      </c>
      <c r="L31" s="10">
        <f t="shared" si="2"/>
        <v>4100</v>
      </c>
      <c r="M31" s="10">
        <f t="shared" si="3"/>
        <v>94000</v>
      </c>
      <c r="N31" s="10">
        <f t="shared" si="4"/>
        <v>4700</v>
      </c>
      <c r="O31" s="10">
        <f t="shared" si="5"/>
        <v>89300</v>
      </c>
      <c r="R31" s="28"/>
      <c r="S31" s="28"/>
      <c r="T31" s="28"/>
      <c r="U31" s="28"/>
      <c r="V31" s="28"/>
    </row>
    <row r="32" ht="15.75" customHeight="1">
      <c r="B32" s="16">
        <v>150995.0</v>
      </c>
      <c r="C32" s="17" t="s">
        <v>78</v>
      </c>
      <c r="D32" s="17" t="s">
        <v>79</v>
      </c>
      <c r="E32" s="18">
        <v>35330.0</v>
      </c>
      <c r="F32" s="19" t="s">
        <v>43</v>
      </c>
      <c r="G32" s="17" t="s">
        <v>29</v>
      </c>
      <c r="H32" s="17" t="s">
        <v>44</v>
      </c>
      <c r="I32" s="17" t="s">
        <v>54</v>
      </c>
      <c r="J32" s="20">
        <v>15000.0</v>
      </c>
      <c r="K32" s="10">
        <f t="shared" si="1"/>
        <v>6750</v>
      </c>
      <c r="L32" s="10">
        <f t="shared" si="2"/>
        <v>1750</v>
      </c>
      <c r="M32" s="10">
        <f t="shared" si="3"/>
        <v>23500</v>
      </c>
      <c r="N32" s="10">
        <f t="shared" si="4"/>
        <v>1175</v>
      </c>
      <c r="O32" s="10">
        <f t="shared" si="5"/>
        <v>22325</v>
      </c>
      <c r="R32" s="24"/>
      <c r="S32" s="25"/>
      <c r="T32" s="25"/>
      <c r="U32" s="25"/>
      <c r="V32" s="26"/>
    </row>
    <row r="33" ht="15.75" customHeight="1">
      <c r="B33" s="16">
        <v>150912.0</v>
      </c>
      <c r="C33" s="17" t="s">
        <v>80</v>
      </c>
      <c r="D33" s="17" t="s">
        <v>81</v>
      </c>
      <c r="E33" s="18">
        <v>37629.0</v>
      </c>
      <c r="F33" s="19" t="s">
        <v>28</v>
      </c>
      <c r="G33" s="17" t="s">
        <v>29</v>
      </c>
      <c r="H33" s="17" t="s">
        <v>82</v>
      </c>
      <c r="I33" s="17" t="s">
        <v>45</v>
      </c>
      <c r="J33" s="20">
        <v>81000.0</v>
      </c>
      <c r="K33" s="10">
        <f t="shared" si="1"/>
        <v>36450</v>
      </c>
      <c r="L33" s="10">
        <f t="shared" si="2"/>
        <v>5050</v>
      </c>
      <c r="M33" s="10">
        <f t="shared" si="3"/>
        <v>122500</v>
      </c>
      <c r="N33" s="10">
        <f t="shared" si="4"/>
        <v>6125</v>
      </c>
      <c r="O33" s="10">
        <f t="shared" si="5"/>
        <v>116375</v>
      </c>
      <c r="R33" s="27"/>
      <c r="S33" s="27"/>
      <c r="T33" s="27"/>
      <c r="U33" s="27"/>
      <c r="V33" s="27"/>
    </row>
    <row r="34" ht="15.75" customHeight="1">
      <c r="B34" s="16">
        <v>150921.0</v>
      </c>
      <c r="C34" s="17" t="s">
        <v>83</v>
      </c>
      <c r="D34" s="17" t="s">
        <v>84</v>
      </c>
      <c r="E34" s="18">
        <v>38092.0</v>
      </c>
      <c r="F34" s="19" t="s">
        <v>43</v>
      </c>
      <c r="G34" s="17" t="s">
        <v>29</v>
      </c>
      <c r="H34" s="17" t="s">
        <v>85</v>
      </c>
      <c r="I34" s="17" t="s">
        <v>45</v>
      </c>
      <c r="J34" s="20">
        <v>19000.0</v>
      </c>
      <c r="K34" s="10">
        <f t="shared" si="1"/>
        <v>8550</v>
      </c>
      <c r="L34" s="10">
        <f t="shared" si="2"/>
        <v>1950</v>
      </c>
      <c r="M34" s="10">
        <f t="shared" si="3"/>
        <v>29500</v>
      </c>
      <c r="N34" s="10">
        <f t="shared" si="4"/>
        <v>1475</v>
      </c>
      <c r="O34" s="10">
        <f t="shared" si="5"/>
        <v>28025</v>
      </c>
      <c r="R34" s="28"/>
      <c r="S34" s="28"/>
      <c r="T34" s="28"/>
      <c r="U34" s="28"/>
      <c r="V34" s="28"/>
    </row>
    <row r="35" ht="15.75" customHeight="1">
      <c r="B35" s="16">
        <v>150851.0</v>
      </c>
      <c r="C35" s="17" t="s">
        <v>86</v>
      </c>
      <c r="D35" s="17" t="s">
        <v>87</v>
      </c>
      <c r="E35" s="18">
        <v>29368.0</v>
      </c>
      <c r="F35" s="19" t="s">
        <v>43</v>
      </c>
      <c r="G35" s="17" t="s">
        <v>35</v>
      </c>
      <c r="H35" s="17" t="s">
        <v>44</v>
      </c>
      <c r="I35" s="17" t="s">
        <v>58</v>
      </c>
      <c r="J35" s="20">
        <v>75000.0</v>
      </c>
      <c r="K35" s="10">
        <f t="shared" si="1"/>
        <v>33750</v>
      </c>
      <c r="L35" s="10">
        <f t="shared" si="2"/>
        <v>4750</v>
      </c>
      <c r="M35" s="10">
        <f t="shared" si="3"/>
        <v>113500</v>
      </c>
      <c r="N35" s="10">
        <f t="shared" si="4"/>
        <v>5675</v>
      </c>
      <c r="O35" s="10">
        <f t="shared" si="5"/>
        <v>107825</v>
      </c>
      <c r="R35" s="28"/>
      <c r="S35" s="28"/>
      <c r="T35" s="28"/>
      <c r="U35" s="28"/>
      <c r="V35" s="28"/>
    </row>
    <row r="36" ht="15.75" customHeight="1">
      <c r="B36" s="16">
        <v>150867.0</v>
      </c>
      <c r="C36" s="17" t="s">
        <v>88</v>
      </c>
      <c r="D36" s="17" t="s">
        <v>89</v>
      </c>
      <c r="E36" s="18">
        <v>29028.0</v>
      </c>
      <c r="F36" s="19" t="s">
        <v>28</v>
      </c>
      <c r="G36" s="17" t="s">
        <v>35</v>
      </c>
      <c r="H36" s="17" t="s">
        <v>85</v>
      </c>
      <c r="I36" s="17" t="s">
        <v>58</v>
      </c>
      <c r="J36" s="20">
        <v>49000.0</v>
      </c>
      <c r="K36" s="10">
        <f t="shared" si="1"/>
        <v>22050</v>
      </c>
      <c r="L36" s="10">
        <f t="shared" si="2"/>
        <v>3450</v>
      </c>
      <c r="M36" s="10">
        <f t="shared" si="3"/>
        <v>74500</v>
      </c>
      <c r="N36" s="10">
        <f t="shared" si="4"/>
        <v>3725</v>
      </c>
      <c r="O36" s="10">
        <f t="shared" si="5"/>
        <v>70775</v>
      </c>
      <c r="R36" s="28"/>
      <c r="S36" s="28"/>
      <c r="T36" s="28"/>
      <c r="U36" s="28"/>
      <c r="V36" s="28"/>
    </row>
    <row r="37" ht="15.75" customHeight="1">
      <c r="B37" s="16">
        <v>150899.0</v>
      </c>
      <c r="C37" s="17" t="s">
        <v>90</v>
      </c>
      <c r="D37" s="17" t="s">
        <v>91</v>
      </c>
      <c r="E37" s="18">
        <v>37400.0</v>
      </c>
      <c r="F37" s="19" t="s">
        <v>43</v>
      </c>
      <c r="G37" s="17" t="s">
        <v>29</v>
      </c>
      <c r="H37" s="17" t="s">
        <v>69</v>
      </c>
      <c r="I37" s="17" t="s">
        <v>45</v>
      </c>
      <c r="J37" s="20">
        <v>50000.0</v>
      </c>
      <c r="K37" s="10">
        <f t="shared" si="1"/>
        <v>22500</v>
      </c>
      <c r="L37" s="10">
        <f t="shared" si="2"/>
        <v>3500</v>
      </c>
      <c r="M37" s="10">
        <f t="shared" si="3"/>
        <v>76000</v>
      </c>
      <c r="N37" s="10">
        <f t="shared" si="4"/>
        <v>3800</v>
      </c>
      <c r="O37" s="10">
        <f t="shared" si="5"/>
        <v>72200</v>
      </c>
      <c r="R37" s="28"/>
      <c r="S37" s="28"/>
      <c r="T37" s="28"/>
      <c r="U37" s="28"/>
      <c r="V37" s="28"/>
    </row>
    <row r="38" ht="15.75" customHeight="1">
      <c r="B38" s="16">
        <v>150975.0</v>
      </c>
      <c r="C38" s="17" t="s">
        <v>92</v>
      </c>
      <c r="D38" s="17" t="s">
        <v>93</v>
      </c>
      <c r="E38" s="18">
        <v>31478.0</v>
      </c>
      <c r="F38" s="19" t="s">
        <v>43</v>
      </c>
      <c r="G38" s="17" t="s">
        <v>29</v>
      </c>
      <c r="H38" s="17" t="s">
        <v>85</v>
      </c>
      <c r="I38" s="17" t="s">
        <v>54</v>
      </c>
      <c r="J38" s="20">
        <v>83000.0</v>
      </c>
      <c r="K38" s="10">
        <f t="shared" si="1"/>
        <v>37350</v>
      </c>
      <c r="L38" s="10">
        <f t="shared" si="2"/>
        <v>5150</v>
      </c>
      <c r="M38" s="10">
        <f t="shared" si="3"/>
        <v>125500</v>
      </c>
      <c r="N38" s="10">
        <f t="shared" si="4"/>
        <v>6275</v>
      </c>
      <c r="O38" s="10">
        <f t="shared" si="5"/>
        <v>119225</v>
      </c>
      <c r="R38" s="28"/>
      <c r="S38" s="28"/>
      <c r="T38" s="28"/>
      <c r="U38" s="28"/>
      <c r="V38" s="28"/>
    </row>
    <row r="39" ht="15.75" customHeight="1">
      <c r="B39" s="16">
        <v>150901.0</v>
      </c>
      <c r="C39" s="17" t="s">
        <v>94</v>
      </c>
      <c r="D39" s="17" t="s">
        <v>95</v>
      </c>
      <c r="E39" s="18">
        <v>32946.0</v>
      </c>
      <c r="F39" s="19" t="s">
        <v>28</v>
      </c>
      <c r="G39" s="17" t="s">
        <v>29</v>
      </c>
      <c r="H39" s="17" t="s">
        <v>96</v>
      </c>
      <c r="I39" s="17" t="s">
        <v>45</v>
      </c>
      <c r="J39" s="20">
        <v>53000.0</v>
      </c>
      <c r="K39" s="10">
        <f t="shared" si="1"/>
        <v>23850</v>
      </c>
      <c r="L39" s="10">
        <f t="shared" si="2"/>
        <v>3650</v>
      </c>
      <c r="M39" s="10">
        <f t="shared" si="3"/>
        <v>80500</v>
      </c>
      <c r="N39" s="10">
        <f t="shared" si="4"/>
        <v>4025</v>
      </c>
      <c r="O39" s="10">
        <f t="shared" si="5"/>
        <v>76475</v>
      </c>
      <c r="R39" s="28"/>
      <c r="S39" s="28"/>
      <c r="T39" s="28"/>
      <c r="U39" s="28"/>
      <c r="V39" s="28"/>
    </row>
    <row r="40" ht="15.75" customHeight="1">
      <c r="B40" s="16">
        <v>150968.0</v>
      </c>
      <c r="C40" s="17" t="s">
        <v>97</v>
      </c>
      <c r="D40" s="17" t="s">
        <v>98</v>
      </c>
      <c r="E40" s="18">
        <v>37208.0</v>
      </c>
      <c r="F40" s="19" t="s">
        <v>43</v>
      </c>
      <c r="G40" s="17" t="s">
        <v>29</v>
      </c>
      <c r="H40" s="17" t="s">
        <v>82</v>
      </c>
      <c r="I40" s="17" t="s">
        <v>45</v>
      </c>
      <c r="J40" s="20">
        <v>65000.0</v>
      </c>
      <c r="K40" s="10">
        <f t="shared" si="1"/>
        <v>29250</v>
      </c>
      <c r="L40" s="10">
        <f t="shared" si="2"/>
        <v>4250</v>
      </c>
      <c r="M40" s="10">
        <f t="shared" si="3"/>
        <v>98500</v>
      </c>
      <c r="N40" s="10">
        <f t="shared" si="4"/>
        <v>4925</v>
      </c>
      <c r="O40" s="10">
        <f t="shared" si="5"/>
        <v>93575</v>
      </c>
      <c r="R40" s="28"/>
      <c r="S40" s="28"/>
      <c r="T40" s="28"/>
      <c r="U40" s="28"/>
      <c r="V40" s="28"/>
    </row>
    <row r="41" ht="15.75" customHeight="1">
      <c r="B41" s="16">
        <v>150773.0</v>
      </c>
      <c r="C41" s="17" t="s">
        <v>99</v>
      </c>
      <c r="D41" s="17" t="s">
        <v>100</v>
      </c>
      <c r="E41" s="18">
        <v>26860.0</v>
      </c>
      <c r="F41" s="19" t="s">
        <v>43</v>
      </c>
      <c r="G41" s="17" t="s">
        <v>29</v>
      </c>
      <c r="H41" s="17" t="s">
        <v>85</v>
      </c>
      <c r="I41" s="17" t="s">
        <v>31</v>
      </c>
      <c r="J41" s="20">
        <v>85000.0</v>
      </c>
      <c r="K41" s="10">
        <f t="shared" si="1"/>
        <v>38250</v>
      </c>
      <c r="L41" s="10">
        <f t="shared" si="2"/>
        <v>5250</v>
      </c>
      <c r="M41" s="10">
        <f t="shared" si="3"/>
        <v>128500</v>
      </c>
      <c r="N41" s="10">
        <f t="shared" si="4"/>
        <v>6425</v>
      </c>
      <c r="O41" s="10">
        <f t="shared" si="5"/>
        <v>122075</v>
      </c>
      <c r="R41" s="28"/>
      <c r="S41" s="28"/>
      <c r="T41" s="28"/>
      <c r="U41" s="28"/>
      <c r="V41" s="28"/>
    </row>
    <row r="42" ht="15.75" customHeight="1">
      <c r="B42" s="16">
        <v>150840.0</v>
      </c>
      <c r="C42" s="17" t="s">
        <v>70</v>
      </c>
      <c r="D42" s="17" t="s">
        <v>101</v>
      </c>
      <c r="E42" s="18">
        <v>23136.0</v>
      </c>
      <c r="F42" s="19" t="s">
        <v>28</v>
      </c>
      <c r="G42" s="17" t="s">
        <v>29</v>
      </c>
      <c r="H42" s="17" t="s">
        <v>44</v>
      </c>
      <c r="I42" s="17" t="s">
        <v>58</v>
      </c>
      <c r="J42" s="20">
        <v>20000.0</v>
      </c>
      <c r="K42" s="10">
        <f t="shared" si="1"/>
        <v>9000</v>
      </c>
      <c r="L42" s="10">
        <f t="shared" si="2"/>
        <v>2000</v>
      </c>
      <c r="M42" s="10">
        <f t="shared" si="3"/>
        <v>31000</v>
      </c>
      <c r="N42" s="10">
        <f t="shared" si="4"/>
        <v>1550</v>
      </c>
      <c r="O42" s="10">
        <f t="shared" si="5"/>
        <v>29450</v>
      </c>
      <c r="R42" s="28"/>
      <c r="S42" s="28"/>
      <c r="T42" s="28"/>
      <c r="U42" s="28"/>
      <c r="V42" s="28"/>
    </row>
    <row r="43" ht="15.75" customHeight="1">
      <c r="B43" s="16">
        <v>150850.0</v>
      </c>
      <c r="C43" s="17" t="s">
        <v>61</v>
      </c>
      <c r="D43" s="17" t="s">
        <v>102</v>
      </c>
      <c r="E43" s="18">
        <v>32027.0</v>
      </c>
      <c r="F43" s="19" t="s">
        <v>43</v>
      </c>
      <c r="G43" s="17" t="s">
        <v>29</v>
      </c>
      <c r="H43" s="17" t="s">
        <v>69</v>
      </c>
      <c r="I43" s="17" t="s">
        <v>58</v>
      </c>
      <c r="J43" s="20">
        <v>47000.0</v>
      </c>
      <c r="K43" s="10">
        <f t="shared" si="1"/>
        <v>21150</v>
      </c>
      <c r="L43" s="10">
        <f t="shared" si="2"/>
        <v>3350</v>
      </c>
      <c r="M43" s="10">
        <f t="shared" si="3"/>
        <v>71500</v>
      </c>
      <c r="N43" s="10">
        <f t="shared" si="4"/>
        <v>3575</v>
      </c>
      <c r="O43" s="10">
        <f t="shared" si="5"/>
        <v>67925</v>
      </c>
      <c r="R43" s="28"/>
      <c r="S43" s="28"/>
      <c r="T43" s="28"/>
      <c r="U43" s="28"/>
      <c r="V43" s="28"/>
    </row>
    <row r="44" ht="15.75" customHeight="1">
      <c r="B44" s="16">
        <v>150962.0</v>
      </c>
      <c r="C44" s="17" t="s">
        <v>103</v>
      </c>
      <c r="D44" s="17" t="s">
        <v>104</v>
      </c>
      <c r="E44" s="18">
        <v>37773.0</v>
      </c>
      <c r="F44" s="19" t="s">
        <v>28</v>
      </c>
      <c r="G44" s="17" t="s">
        <v>29</v>
      </c>
      <c r="H44" s="17" t="s">
        <v>50</v>
      </c>
      <c r="I44" s="17" t="s">
        <v>45</v>
      </c>
      <c r="J44" s="20">
        <v>87000.0</v>
      </c>
      <c r="K44" s="10">
        <f t="shared" si="1"/>
        <v>39150</v>
      </c>
      <c r="L44" s="10">
        <f t="shared" si="2"/>
        <v>5350</v>
      </c>
      <c r="M44" s="10">
        <f t="shared" si="3"/>
        <v>131500</v>
      </c>
      <c r="N44" s="10">
        <f t="shared" si="4"/>
        <v>6575</v>
      </c>
      <c r="O44" s="10">
        <f t="shared" si="5"/>
        <v>124925</v>
      </c>
      <c r="R44" s="28"/>
      <c r="S44" s="28"/>
      <c r="T44" s="28"/>
      <c r="U44" s="28"/>
      <c r="V44" s="28"/>
    </row>
    <row r="45" ht="15.0" customHeight="1">
      <c r="B45" s="16">
        <v>150954.0</v>
      </c>
      <c r="C45" s="17" t="s">
        <v>105</v>
      </c>
      <c r="D45" s="17" t="s">
        <v>104</v>
      </c>
      <c r="E45" s="18">
        <v>35495.0</v>
      </c>
      <c r="F45" s="19" t="s">
        <v>28</v>
      </c>
      <c r="G45" s="17" t="s">
        <v>29</v>
      </c>
      <c r="H45" s="17" t="s">
        <v>96</v>
      </c>
      <c r="I45" s="17" t="s">
        <v>45</v>
      </c>
      <c r="J45" s="20">
        <v>57000.0</v>
      </c>
      <c r="K45" s="10">
        <f t="shared" si="1"/>
        <v>25650</v>
      </c>
      <c r="L45" s="10">
        <f t="shared" si="2"/>
        <v>3850</v>
      </c>
      <c r="M45" s="10">
        <f t="shared" si="3"/>
        <v>86500</v>
      </c>
      <c r="N45" s="10">
        <f t="shared" si="4"/>
        <v>4325</v>
      </c>
      <c r="O45" s="10">
        <f t="shared" si="5"/>
        <v>82175</v>
      </c>
    </row>
    <row r="46" ht="15.0" customHeight="1">
      <c r="B46" s="16">
        <v>150874.0</v>
      </c>
      <c r="C46" s="17" t="s">
        <v>106</v>
      </c>
      <c r="D46" s="17" t="s">
        <v>104</v>
      </c>
      <c r="E46" s="18">
        <v>37890.0</v>
      </c>
      <c r="F46" s="19" t="s">
        <v>28</v>
      </c>
      <c r="G46" s="17" t="s">
        <v>29</v>
      </c>
      <c r="H46" s="17" t="s">
        <v>48</v>
      </c>
      <c r="I46" s="17" t="s">
        <v>58</v>
      </c>
      <c r="J46" s="20">
        <v>27000.0</v>
      </c>
      <c r="K46" s="10">
        <f t="shared" si="1"/>
        <v>12150</v>
      </c>
      <c r="L46" s="10">
        <f t="shared" si="2"/>
        <v>2350</v>
      </c>
      <c r="M46" s="10">
        <f t="shared" si="3"/>
        <v>41500</v>
      </c>
      <c r="N46" s="10">
        <f t="shared" si="4"/>
        <v>2075</v>
      </c>
      <c r="O46" s="10">
        <f t="shared" si="5"/>
        <v>39425</v>
      </c>
    </row>
    <row r="47" ht="15.0" customHeight="1">
      <c r="B47" s="16">
        <v>150798.0</v>
      </c>
      <c r="C47" s="17" t="s">
        <v>107</v>
      </c>
      <c r="D47" s="17" t="s">
        <v>104</v>
      </c>
      <c r="E47" s="18">
        <v>28276.0</v>
      </c>
      <c r="F47" s="19" t="s">
        <v>28</v>
      </c>
      <c r="G47" s="17" t="s">
        <v>29</v>
      </c>
      <c r="H47" s="17" t="s">
        <v>36</v>
      </c>
      <c r="I47" s="17" t="s">
        <v>31</v>
      </c>
      <c r="J47" s="20">
        <v>81000.0</v>
      </c>
      <c r="K47" s="10">
        <f t="shared" si="1"/>
        <v>36450</v>
      </c>
      <c r="L47" s="10">
        <f t="shared" si="2"/>
        <v>5050</v>
      </c>
      <c r="M47" s="10">
        <f t="shared" si="3"/>
        <v>122500</v>
      </c>
      <c r="N47" s="10">
        <f t="shared" si="4"/>
        <v>6125</v>
      </c>
      <c r="O47" s="10">
        <f t="shared" si="5"/>
        <v>116375</v>
      </c>
    </row>
    <row r="48" ht="15.0" customHeight="1">
      <c r="B48" s="16">
        <v>150830.0</v>
      </c>
      <c r="C48" s="17" t="s">
        <v>108</v>
      </c>
      <c r="D48" s="17" t="s">
        <v>109</v>
      </c>
      <c r="E48" s="18">
        <v>29037.0</v>
      </c>
      <c r="F48" s="19" t="s">
        <v>28</v>
      </c>
      <c r="G48" s="17" t="s">
        <v>29</v>
      </c>
      <c r="H48" s="17" t="s">
        <v>96</v>
      </c>
      <c r="I48" s="17" t="s">
        <v>31</v>
      </c>
      <c r="J48" s="20">
        <v>52000.0</v>
      </c>
      <c r="K48" s="10">
        <f t="shared" si="1"/>
        <v>23400</v>
      </c>
      <c r="L48" s="10">
        <f t="shared" si="2"/>
        <v>3600</v>
      </c>
      <c r="M48" s="10">
        <f t="shared" si="3"/>
        <v>79000</v>
      </c>
      <c r="N48" s="10">
        <f t="shared" si="4"/>
        <v>3950</v>
      </c>
      <c r="O48" s="10">
        <f t="shared" si="5"/>
        <v>75050</v>
      </c>
    </row>
    <row r="49" ht="15.0" customHeight="1">
      <c r="B49" s="16">
        <v>150929.0</v>
      </c>
      <c r="C49" s="17" t="s">
        <v>110</v>
      </c>
      <c r="D49" s="17" t="s">
        <v>111</v>
      </c>
      <c r="E49" s="18">
        <v>26739.0</v>
      </c>
      <c r="F49" s="19" t="s">
        <v>43</v>
      </c>
      <c r="G49" s="17" t="s">
        <v>29</v>
      </c>
      <c r="H49" s="17" t="s">
        <v>48</v>
      </c>
      <c r="I49" s="17" t="s">
        <v>45</v>
      </c>
      <c r="J49" s="20">
        <v>58000.0</v>
      </c>
      <c r="K49" s="10">
        <f t="shared" si="1"/>
        <v>26100</v>
      </c>
      <c r="L49" s="10">
        <f t="shared" si="2"/>
        <v>3900</v>
      </c>
      <c r="M49" s="10">
        <f t="shared" si="3"/>
        <v>88000</v>
      </c>
      <c r="N49" s="10">
        <f t="shared" si="4"/>
        <v>4400</v>
      </c>
      <c r="O49" s="10">
        <f t="shared" si="5"/>
        <v>83600</v>
      </c>
    </row>
    <row r="50" ht="15.0" customHeight="1">
      <c r="B50" s="16">
        <v>150982.0</v>
      </c>
      <c r="C50" s="17" t="s">
        <v>112</v>
      </c>
      <c r="D50" s="17" t="s">
        <v>113</v>
      </c>
      <c r="E50" s="18">
        <v>35574.0</v>
      </c>
      <c r="F50" s="19" t="s">
        <v>43</v>
      </c>
      <c r="G50" s="17" t="s">
        <v>29</v>
      </c>
      <c r="H50" s="17" t="s">
        <v>48</v>
      </c>
      <c r="I50" s="17" t="s">
        <v>54</v>
      </c>
      <c r="J50" s="20">
        <v>47000.0</v>
      </c>
      <c r="K50" s="10">
        <f t="shared" si="1"/>
        <v>21150</v>
      </c>
      <c r="L50" s="10">
        <f t="shared" si="2"/>
        <v>3350</v>
      </c>
      <c r="M50" s="10">
        <f t="shared" si="3"/>
        <v>71500</v>
      </c>
      <c r="N50" s="10">
        <f t="shared" si="4"/>
        <v>3575</v>
      </c>
      <c r="O50" s="10">
        <f t="shared" si="5"/>
        <v>67925</v>
      </c>
    </row>
    <row r="51" ht="15.0" customHeight="1">
      <c r="B51" s="16">
        <v>150821.0</v>
      </c>
      <c r="C51" s="17" t="s">
        <v>114</v>
      </c>
      <c r="D51" s="17" t="s">
        <v>115</v>
      </c>
      <c r="E51" s="18">
        <v>29966.0</v>
      </c>
      <c r="F51" s="19" t="s">
        <v>43</v>
      </c>
      <c r="G51" s="17" t="s">
        <v>35</v>
      </c>
      <c r="H51" s="17" t="s">
        <v>69</v>
      </c>
      <c r="I51" s="17" t="s">
        <v>31</v>
      </c>
      <c r="J51" s="20">
        <v>26000.0</v>
      </c>
      <c r="K51" s="10">
        <f t="shared" si="1"/>
        <v>11700</v>
      </c>
      <c r="L51" s="10">
        <f t="shared" si="2"/>
        <v>2300</v>
      </c>
      <c r="M51" s="10">
        <f t="shared" si="3"/>
        <v>40000</v>
      </c>
      <c r="N51" s="10">
        <f t="shared" si="4"/>
        <v>2000</v>
      </c>
      <c r="O51" s="10">
        <f t="shared" si="5"/>
        <v>38000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G57" s="29">
        <f>COUNTA(F14:F51)</f>
        <v>38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L$9">
    <sortState ref="L9">
      <sortCondition ref="L9"/>
    </sortState>
  </autoFilter>
  <mergeCells count="10">
    <mergeCell ref="R10:S10"/>
    <mergeCell ref="R18:V18"/>
    <mergeCell ref="R32:V32"/>
    <mergeCell ref="C2:J3"/>
    <mergeCell ref="R2:S2"/>
    <mergeCell ref="D4:I4"/>
    <mergeCell ref="D5:I5"/>
    <mergeCell ref="D6:I6"/>
    <mergeCell ref="D7:I7"/>
    <mergeCell ref="D8:I8"/>
  </mergeCells>
  <conditionalFormatting sqref="S14">
    <cfRule type="notContainsBlanks" dxfId="0" priority="1">
      <formula>LEN(TRIM(S14))&gt;0</formula>
    </cfRule>
  </conditionalFormatting>
  <conditionalFormatting sqref="S14">
    <cfRule type="notContainsBlanks" dxfId="0" priority="2">
      <formula>LEN(TRIM(S14))&gt;0</formula>
    </cfRule>
  </conditionalFormatting>
  <conditionalFormatting sqref="S14">
    <cfRule type="notContainsBlanks" dxfId="0" priority="3">
      <formula>LEN(TRIM(S14))&gt;0</formula>
    </cfRule>
  </conditionalFormatting>
  <conditionalFormatting sqref="S14">
    <cfRule type="notContainsBlanks" dxfId="0" priority="4">
      <formula>LEN(TRIM(S14))&gt;0</formula>
    </cfRule>
  </conditionalFormatting>
  <printOptions/>
  <pageMargins bottom="0.75" footer="0.0" header="0.0" left="0.7" right="0.7" top="0.75"/>
  <pageSetup orientation="landscape"/>
  <drawing r:id="rId1"/>
</worksheet>
</file>